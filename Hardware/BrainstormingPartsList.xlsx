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<sst xmlns="http://schemas.openxmlformats.org/spreadsheetml/2006/main" count="88" uniqueCount="87">
  <si>
    <t xml:space="preserve">Part Name</t>
  </si>
  <si>
    <t xml:space="preserve">Part ID</t>
  </si>
  <si>
    <t xml:space="preserve">Qt.</t>
  </si>
  <si>
    <t xml:space="preserve">Price</t>
  </si>
  <si>
    <t xml:space="preserve">Sum</t>
  </si>
  <si>
    <t xml:space="preserve">Octopart Link</t>
  </si>
  <si>
    <t xml:space="preserve">ESP32-S3</t>
  </si>
  <si>
    <t xml:space="preserve">ESP32-S3-MINI-1U-N8</t>
  </si>
  <si>
    <t xml:space="preserve">https://octopart.com/esp32-s3-mini-1u-n8-espressif+systems-129194335</t>
  </si>
  <si>
    <t xml:space="preserve">ARGBW LED</t>
  </si>
  <si>
    <t xml:space="preserve">IN-PI55QATPRPGPBPW-40</t>
  </si>
  <si>
    <t xml:space="preserve">https://octopart.com/in-pi55qatprpgpbpw-40-inolux-96300409</t>
  </si>
  <si>
    <t xml:space="preserve">128x64 OLED</t>
  </si>
  <si>
    <t xml:space="preserve">Adafruit 938</t>
  </si>
  <si>
    <t xml:space="preserve">https://octopart.com/938-adafruit+industries-32979003</t>
  </si>
  <si>
    <t xml:space="preserve">100mm 10k Slide Potentiameter w/ LED</t>
  </si>
  <si>
    <t xml:space="preserve">Bourns PTL01-15R0-103B1</t>
  </si>
  <si>
    <t xml:space="preserve">https://octopart.com/ptl01-15r0-103b1-bourns-77838499</t>
  </si>
  <si>
    <t xml:space="preserve">8 GPIO Expander</t>
  </si>
  <si>
    <t xml:space="preserve">TI PCF8574RGTR</t>
  </si>
  <si>
    <t xml:space="preserve">https://octopart.com/pcf8574rgtr-texas+instruments-666200</t>
  </si>
  <si>
    <t xml:space="preserve">10k Rotary Poteniometer w/ push switch</t>
  </si>
  <si>
    <t xml:space="preserve">Bourns 39LA-1PB-103</t>
  </si>
  <si>
    <t xml:space="preserve">https://octopart.com/39la-1pb-103-bourns-578549</t>
  </si>
  <si>
    <t xml:space="preserve">Cherry MX Green Mechanical Switch Kit</t>
  </si>
  <si>
    <t xml:space="preserve">DMX1A-F1NA-1A</t>
  </si>
  <si>
    <t xml:space="preserve">https://www.amazon.com/Cherry-Switch-Mechanical-Keyboard-Switches/dp/B0CXTP79HR?th=1</t>
  </si>
  <si>
    <t xml:space="preserve">Quad-Schmitt Trigger</t>
  </si>
  <si>
    <t xml:space="preserve">TI SN74HCS126DR</t>
  </si>
  <si>
    <t xml:space="preserve">https://octopart.com/sn74hcs126dr-texas+instruments-110195206</t>
  </si>
  <si>
    <t xml:space="preserve">Vishay 0.1uF Polarized Capacitor</t>
  </si>
  <si>
    <t xml:space="preserve">293D104X0035A2TE3</t>
  </si>
  <si>
    <t xml:space="preserve">https://octopart.com/293d104x0035a2te3-vishay-42464905</t>
  </si>
  <si>
    <t xml:space="preserve">TE Connectivity 1K Ohm Resistor</t>
  </si>
  <si>
    <t xml:space="preserve">6-1879336-2</t>
  </si>
  <si>
    <t xml:space="preserve">https://octopart.com/6-1879336-2-te+connectivity-42430722</t>
  </si>
  <si>
    <t xml:space="preserve">TE Connectivity 10K Ohm Resistor</t>
  </si>
  <si>
    <t xml:space="preserve">1614881-1</t>
  </si>
  <si>
    <t xml:space="preserve">https://octopart.com/1614881-1-te+connectivity-40125137</t>
  </si>
  <si>
    <t xml:space="preserve">Onsemi 100V 0.2A Rectifier Diode</t>
  </si>
  <si>
    <t xml:space="preserve">MMSD4148T1G</t>
  </si>
  <si>
    <t xml:space="preserve">https://octopart.com/mmsd4148t1g-onsemi-331798</t>
  </si>
  <si>
    <t xml:space="preserve">TE COnnectivity 100 Ohm Resistor</t>
  </si>
  <si>
    <t xml:space="preserve">1622828-1</t>
  </si>
  <si>
    <t xml:space="preserve">https://octopart.com/1622828-1-te+connectivity-41187673</t>
  </si>
  <si>
    <t xml:space="preserve">Murata 0.1uF Capacitor</t>
  </si>
  <si>
    <t xml:space="preserve">GCJ188R71H104KA12D</t>
  </si>
  <si>
    <t xml:space="preserve">https://octopart.com/gcj188r71h104ka12d-murata-20842003</t>
  </si>
  <si>
    <t xml:space="preserve">Panasonic 499 Ohm Resistor</t>
  </si>
  <si>
    <t xml:space="preserve">ERJ-3EKF4990V</t>
  </si>
  <si>
    <t xml:space="preserve">https://octopart.com/erj-3ekf4990v-panasonic-55421795</t>
  </si>
  <si>
    <t xml:space="preserve">STM USB Choke and ESD Filter</t>
  </si>
  <si>
    <t xml:space="preserve">ECMF02-2AMX6</t>
  </si>
  <si>
    <t xml:space="preserve">https://octopart.com/ecmf02-2amx6-stmicroelectronics-44353078</t>
  </si>
  <si>
    <t xml:space="preserve">STM ESD Diode</t>
  </si>
  <si>
    <t xml:space="preserve">ESDA25P35-1U1M</t>
  </si>
  <si>
    <t xml:space="preserve">https://octopart.com/esda25p35-1u1m-stmicroelectronics-75302699</t>
  </si>
  <si>
    <t xml:space="preserve">ESDALC6V1-1U2</t>
  </si>
  <si>
    <t xml:space="preserve">https://octopart.com/esdalc6v1-1u2-stmicroelectronics-11912330</t>
  </si>
  <si>
    <t xml:space="preserve">Panasonic 5.1K Ohm Resistor</t>
  </si>
  <si>
    <t xml:space="preserve">ERJ-3EKF5101V</t>
  </si>
  <si>
    <t xml:space="preserve">https://octopart.com/erj-3ekf5101v-panasonic-55421801</t>
  </si>
  <si>
    <t xml:space="preserve">GCT USB C</t>
  </si>
  <si>
    <t xml:space="preserve">USB4085-GF-A</t>
  </si>
  <si>
    <t xml:space="preserve">https://octopart.com/usb4085-gf-a-global+connector+technology-94773699</t>
  </si>
  <si>
    <t xml:space="preserve">TI 5V to 3.3V 5A LDO</t>
  </si>
  <si>
    <t xml:space="preserve">LMS1585ACS-3.3/NOPB</t>
  </si>
  <si>
    <t xml:space="preserve">https://octopart.com/lms1585acs-3.3%2Fnopb-texas+instruments-24815787</t>
  </si>
  <si>
    <t xml:space="preserve">Murata 10uF Capacitor</t>
  </si>
  <si>
    <t xml:space="preserve">GRM188D71A106MA73D</t>
  </si>
  <si>
    <t xml:space="preserve">https://octopart.com/grm188d71a106ma73d-murata-26982325</t>
  </si>
  <si>
    <t xml:space="preserve">Vishay Red LED</t>
  </si>
  <si>
    <t xml:space="preserve">VLMS1300-GS08</t>
  </si>
  <si>
    <t xml:space="preserve">https://octopart.com/vlms1300-gs08-vishay-21709201</t>
  </si>
  <si>
    <t xml:space="preserve">Panasonic 200 Ohm Resistor</t>
  </si>
  <si>
    <t xml:space="preserve">ERJ-PA3F2000V</t>
  </si>
  <si>
    <t xml:space="preserve">https://octopart.com/erj-pa3f2000v-panasonic-51302339</t>
  </si>
  <si>
    <t xml:space="preserve">Vishay Orange LED</t>
  </si>
  <si>
    <t xml:space="preserve">VLMO1300-GS08</t>
  </si>
  <si>
    <t xml:space="preserve">https://octopart.com/vlmo1300-gs08-vishay-21709200</t>
  </si>
  <si>
    <t xml:space="preserve">Vishay Green LED</t>
  </si>
  <si>
    <t xml:space="preserve">VLMTG1300-GS08</t>
  </si>
  <si>
    <t xml:space="preserve">https://octopart.com/vlmtg1300-gs08-vishay-21709202</t>
  </si>
  <si>
    <t xml:space="preserve">TE Connectivity 10 Ohm Resistor</t>
  </si>
  <si>
    <t xml:space="preserve">CRGH0603J10R</t>
  </si>
  <si>
    <t xml:space="preserve">https://octopart.com/crgh0603j10r-te+connectivity-24382088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</si>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</sst>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[$$-409]#,##0.00;[RED]\-[$$-409]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ctopart.com/esp32-s3-mini-1u-n8-espressif+systems-129194335" TargetMode="External"/><Relationship Id="rId2" Type="http://schemas.openxmlformats.org/officeDocument/2006/relationships/hyperlink" Target="https://octopart.com/in-pi55qatprpgpbpw-40-inolux-96300409" TargetMode="External"/><Relationship Id="rId3" Type="http://schemas.openxmlformats.org/officeDocument/2006/relationships/hyperlink" Target="https://octopart.com/938-adafruit+industries-32979003" TargetMode="External"/><Relationship Id="rId4" Type="http://schemas.openxmlformats.org/officeDocument/2006/relationships/hyperlink" Target="https://octopart.com/ptl01-15r0-103b1-bourns-77838499" TargetMode="External"/><Relationship Id="rId5" Type="http://schemas.openxmlformats.org/officeDocument/2006/relationships/hyperlink" Target="https://octopart.com/pcf8574rgtr-texas+instruments-666200" TargetMode="External"/><Relationship Id="rId6" Type="http://schemas.openxmlformats.org/officeDocument/2006/relationships/hyperlink" Target="https://octopart.com/39la-1pb-103-bourns-578549" TargetMode="External"/><Relationship Id="rId7" Type="http://schemas.openxmlformats.org/officeDocument/2006/relationships/hyperlink" Target="https://www.amazon.com/Cherry-Switch-Mechanical-Keyboard-Switches/dp/B0CXTP79HR?th=1" TargetMode="External"/><Relationship Id="rId8" Type="http://schemas.openxmlformats.org/officeDocument/2006/relationships/hyperlink" Target="https://octopart.com/sn74hcs126dr-texas+instruments-110195206" TargetMode="External"/><Relationship Id="rId9" Type="http://schemas.openxmlformats.org/officeDocument/2006/relationships/hyperlink" Target="https://octopart.com/293d104x0035a2te3-vishay-42464905" TargetMode="External"/><Relationship Id="rId10" Type="http://schemas.openxmlformats.org/officeDocument/2006/relationships/hyperlink" Target="https://octopart.com/6-1879336-2-te+connectivity-42430722" TargetMode="External"/><Relationship Id="rId11" Type="http://schemas.openxmlformats.org/officeDocument/2006/relationships/hyperlink" Target="https://octopart.com/1614881-1-te+connectivity-40125137" TargetMode="External"/><Relationship Id="rId12" Type="http://schemas.openxmlformats.org/officeDocument/2006/relationships/hyperlink" Target="https://octopart.com/mmsd4148t1g-onsemi-331798" TargetMode="External"/><Relationship Id="rId13" Type="http://schemas.openxmlformats.org/officeDocument/2006/relationships/hyperlink" Target="https://octopart.com/1622828-1-te+connectivity-41187673" TargetMode="External"/><Relationship Id="rId14" Type="http://schemas.openxmlformats.org/officeDocument/2006/relationships/hyperlink" Target="https://octopart.com/gcj188r71h104ka12d-murata-20842003" TargetMode="External"/><Relationship Id="rId15" Type="http://schemas.openxmlformats.org/officeDocument/2006/relationships/hyperlink" Target="https://octopart.com/erj-3ekf4990v-panasonic-55421795" TargetMode="External"/><Relationship Id="rId16" Type="http://schemas.openxmlformats.org/officeDocument/2006/relationships/hyperlink" Target="https://octopart.com/ecmf02-2amx6-stmicroelectronics-44353078" TargetMode="External"/><Relationship Id="rId17" Type="http://schemas.openxmlformats.org/officeDocument/2006/relationships/hyperlink" Target="https://octopart.com/esda25p35-1u1m-stmicroelectronics-75302699" TargetMode="External"/><Relationship Id="rId18" Type="http://schemas.openxmlformats.org/officeDocument/2006/relationships/hyperlink" Target="https://octopart.com/esdalc6v1-1u2-stmicroelectronics-11912330" TargetMode="External"/><Relationship Id="rId19" Type="http://schemas.openxmlformats.org/officeDocument/2006/relationships/hyperlink" Target="https://octopart.com/erj-3ekf5101v-panasonic-55421801" TargetMode="External"/><Relationship Id="rId20" Type="http://schemas.openxmlformats.org/officeDocument/2006/relationships/hyperlink" Target="https://octopart.com/usb4085-gf-a-global+connector+technology-94773699" TargetMode="External"/><Relationship Id="rId21" Type="http://schemas.openxmlformats.org/officeDocument/2006/relationships/hyperlink" Target="https://octopart.com/lms1585acs-3.3%2Fnopb-texas+instruments-24815787" TargetMode="External"/><Relationship Id="rId22" Type="http://schemas.openxmlformats.org/officeDocument/2006/relationships/hyperlink" Target="https://octopart.com/grm188d71a106ma73d-murata-26982325" TargetMode="External"/><Relationship Id="rId23" Type="http://schemas.openxmlformats.org/officeDocument/2006/relationships/hyperlink" Target="https://octopart.com/vlms1300-gs08-vishay-21709201" TargetMode="External"/><Relationship Id="rId24" Type="http://schemas.openxmlformats.org/officeDocument/2006/relationships/hyperlink" Target="https://octopart.com/erj-pa3f2000v-panasonic-51302339" TargetMode="External"/><Relationship Id="rId25" Type="http://schemas.openxmlformats.org/officeDocument/2006/relationships/hyperlink" Target="https://octopart.com/vlmo1300-gs08-vishay-21709200" TargetMode="External"/><Relationship Id="rId26" Type="http://schemas.openxmlformats.org/officeDocument/2006/relationships/hyperlink" Target="https://octopart.com/vlmtg1300-gs08-vishay-21709202" TargetMode="External"/><Relationship Id="rId27" Type="http://schemas.openxmlformats.org/officeDocument/2006/relationships/hyperlink" Target="https://octopart.com/crgh0603j10r-te+connectivity-2438208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:I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3.86"/>
    <col collapsed="false" customWidth="true" hidden="false" outlineLevel="0" max="2" min="2" style="1" width="24.54"/>
    <col collapsed="false" customWidth="true" hidden="false" outlineLevel="0" max="3" min="3" style="2" width="6.04"/>
    <col collapsed="false" customWidth="true" hidden="false" outlineLevel="0" max="4" min="4" style="3" width="7.02"/>
    <col collapsed="false" customWidth="true" hidden="false" outlineLevel="0" max="5" min="5" style="1" width="7.99"/>
    <col collapsed="false" customWidth="true" hidden="false" outlineLevel="0" max="6" min="6" style="1" width="78.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2" t="n">
        <v>1</v>
      </c>
      <c r="D2" s="3" t="n">
        <v>5.28</v>
      </c>
      <c r="E2" s="3" t="n">
        <f aca="false">D2*C2</f>
        <v>5.28</v>
      </c>
      <c r="F2" s="4" t="s">
        <v>8</v>
      </c>
    </row>
    <row r="3" customFormat="false" ht="12.8" hidden="false" customHeight="false" outlineLevel="0" collapsed="false">
      <c r="A3" s="1" t="s">
        <v>9</v>
      </c>
      <c r="B3" s="1" t="s">
        <v>10</v>
      </c>
      <c r="C3" s="2" t="n">
        <v>2</v>
      </c>
      <c r="D3" s="3" t="n">
        <v>0.74</v>
      </c>
      <c r="E3" s="3" t="n">
        <f aca="false">D3*C3</f>
        <v>1.48</v>
      </c>
      <c r="F3" s="4" t="s">
        <v>11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2" t="n">
        <v>4</v>
      </c>
      <c r="D4" s="3" t="n">
        <v>17.5</v>
      </c>
      <c r="E4" s="3" t="n">
        <f aca="false">D4*C4</f>
        <v>70</v>
      </c>
      <c r="F4" s="4" t="s">
        <v>14</v>
      </c>
    </row>
    <row r="5" customFormat="false" ht="12.8" hidden="false" customHeight="false" outlineLevel="0" collapsed="false">
      <c r="A5" s="1" t="s">
        <v>15</v>
      </c>
      <c r="B5" s="1" t="s">
        <v>16</v>
      </c>
      <c r="C5" s="2" t="n">
        <v>6</v>
      </c>
      <c r="D5" s="3" t="n">
        <v>6.17</v>
      </c>
      <c r="E5" s="3" t="n">
        <f aca="false">D5*C5</f>
        <v>37.02</v>
      </c>
      <c r="F5" s="4" t="s">
        <v>17</v>
      </c>
    </row>
    <row r="6" customFormat="false" ht="12.8" hidden="false" customHeight="false" outlineLevel="0" collapsed="false">
      <c r="A6" s="1" t="s">
        <v>18</v>
      </c>
      <c r="B6" s="1" t="s">
        <v>19</v>
      </c>
      <c r="C6" s="2" t="n">
        <v>3</v>
      </c>
      <c r="D6" s="3" t="n">
        <v>1.5</v>
      </c>
      <c r="E6" s="3" t="n">
        <f aca="false">D6*C6</f>
        <v>4.5</v>
      </c>
      <c r="F6" s="4" t="s">
        <v>20</v>
      </c>
    </row>
    <row r="7" customFormat="false" ht="12.8" hidden="false" customHeight="false" outlineLevel="0" collapsed="false">
      <c r="A7" s="1" t="s">
        <v>21</v>
      </c>
      <c r="B7" s="1" t="s">
        <v>22</v>
      </c>
      <c r="C7" s="2" t="n">
        <v>2</v>
      </c>
      <c r="D7" s="3" t="n">
        <v>18.89</v>
      </c>
      <c r="E7" s="3" t="n">
        <f aca="false">D7*C7</f>
        <v>37.78</v>
      </c>
      <c r="F7" s="4" t="s">
        <v>23</v>
      </c>
    </row>
    <row r="8" customFormat="false" ht="12.8" hidden="false" customHeight="false" outlineLevel="0" collapsed="false">
      <c r="A8" s="1" t="s">
        <v>24</v>
      </c>
      <c r="B8" s="1" t="s">
        <v>25</v>
      </c>
      <c r="C8" s="2" t="n">
        <v>1</v>
      </c>
      <c r="D8" s="3" t="n">
        <v>15.99</v>
      </c>
      <c r="E8" s="3" t="n">
        <f aca="false">D8*C8</f>
        <v>15.99</v>
      </c>
      <c r="F8" s="4" t="s">
        <v>26</v>
      </c>
    </row>
    <row r="9" customFormat="false" ht="12.8" hidden="false" customHeight="false" outlineLevel="0" collapsed="false">
      <c r="A9" s="1" t="s">
        <v>27</v>
      </c>
      <c r="B9" s="1" t="s">
        <v>28</v>
      </c>
      <c r="C9" s="2" t="n">
        <v>2</v>
      </c>
      <c r="D9" s="3" t="n">
        <v>0.22</v>
      </c>
      <c r="E9" s="3" t="n">
        <f aca="false">D9*C9</f>
        <v>0.44</v>
      </c>
      <c r="F9" s="4" t="s">
        <v>29</v>
      </c>
    </row>
    <row r="10" customFormat="false" ht="12.8" hidden="false" customHeight="false" outlineLevel="0" collapsed="false">
      <c r="A10" s="1" t="s">
        <v>30</v>
      </c>
      <c r="B10" s="1" t="s">
        <v>31</v>
      </c>
      <c r="C10" s="2" t="n">
        <v>8</v>
      </c>
      <c r="D10" s="3" t="n">
        <v>0.41</v>
      </c>
      <c r="E10" s="3" t="n">
        <f aca="false">D10*C10</f>
        <v>3.28</v>
      </c>
      <c r="F10" s="4" t="s">
        <v>32</v>
      </c>
    </row>
    <row r="11" customFormat="false" ht="12.8" hidden="false" customHeight="false" outlineLevel="0" collapsed="false">
      <c r="A11" s="1" t="s">
        <v>33</v>
      </c>
      <c r="B11" s="1" t="s">
        <v>34</v>
      </c>
      <c r="C11" s="2" t="n">
        <v>8</v>
      </c>
      <c r="D11" s="3" t="n">
        <v>0.1</v>
      </c>
      <c r="E11" s="3" t="n">
        <f aca="false">D11*C11</f>
        <v>0.8</v>
      </c>
      <c r="F11" s="4" t="s">
        <v>35</v>
      </c>
    </row>
    <row r="12" customFormat="false" ht="12.8" hidden="false" customHeight="false" outlineLevel="0" collapsed="false">
      <c r="A12" s="1" t="s">
        <v>36</v>
      </c>
      <c r="B12" s="1" t="s">
        <v>37</v>
      </c>
      <c r="C12" s="2" t="n">
        <v>8</v>
      </c>
      <c r="D12" s="3" t="n">
        <v>0.18</v>
      </c>
      <c r="E12" s="3" t="n">
        <f aca="false">D12*C12</f>
        <v>1.44</v>
      </c>
      <c r="F12" s="4" t="s">
        <v>38</v>
      </c>
    </row>
    <row r="13" customFormat="false" ht="12.8" hidden="false" customHeight="false" outlineLevel="0" collapsed="false">
      <c r="A13" s="1" t="s">
        <v>39</v>
      </c>
      <c r="B13" s="1" t="s">
        <v>40</v>
      </c>
      <c r="C13" s="2" t="n">
        <v>8</v>
      </c>
      <c r="D13" s="3" t="n">
        <v>0.1</v>
      </c>
      <c r="E13" s="3" t="n">
        <f aca="false">D13*C13</f>
        <v>0.8</v>
      </c>
      <c r="F13" s="4" t="s">
        <v>41</v>
      </c>
    </row>
    <row r="14" customFormat="false" ht="12.8" hidden="false" customHeight="false" outlineLevel="0" collapsed="false">
      <c r="A14" s="1" t="s">
        <v>42</v>
      </c>
      <c r="B14" s="1" t="s">
        <v>43</v>
      </c>
      <c r="C14" s="2" t="n">
        <v>7</v>
      </c>
      <c r="D14" s="3" t="n">
        <v>0.1</v>
      </c>
      <c r="E14" s="3" t="n">
        <f aca="false">D14*C14</f>
        <v>0.7</v>
      </c>
      <c r="F14" s="4" t="s">
        <v>44</v>
      </c>
    </row>
    <row r="15" customFormat="false" ht="12.8" hidden="false" customHeight="false" outlineLevel="0" collapsed="false">
      <c r="A15" s="1" t="s">
        <v>45</v>
      </c>
      <c r="B15" s="1" t="s">
        <v>46</v>
      </c>
      <c r="C15" s="2" t="n">
        <v>16</v>
      </c>
      <c r="D15" s="3" t="n">
        <v>0.12</v>
      </c>
      <c r="E15" s="3" t="n">
        <f aca="false">D15*C15</f>
        <v>1.92</v>
      </c>
      <c r="F15" s="4" t="s">
        <v>47</v>
      </c>
    </row>
    <row r="16" customFormat="false" ht="12.8" hidden="false" customHeight="false" outlineLevel="0" collapsed="false">
      <c r="A16" s="1" t="s">
        <v>48</v>
      </c>
      <c r="B16" s="1" t="s">
        <v>49</v>
      </c>
      <c r="C16" s="2" t="n">
        <v>2</v>
      </c>
      <c r="D16" s="3" t="n">
        <v>0.1</v>
      </c>
      <c r="E16" s="3" t="n">
        <f aca="false">D16*C16</f>
        <v>0.2</v>
      </c>
      <c r="F16" s="4" t="s">
        <v>50</v>
      </c>
    </row>
    <row r="17" customFormat="false" ht="12.8" hidden="false" customHeight="false" outlineLevel="0" collapsed="false">
      <c r="A17" s="1" t="s">
        <v>51</v>
      </c>
      <c r="B17" s="1" t="s">
        <v>52</v>
      </c>
      <c r="C17" s="2" t="n">
        <v>1</v>
      </c>
      <c r="D17" s="3" t="n">
        <v>0.41</v>
      </c>
      <c r="E17" s="3" t="n">
        <f aca="false">D17*C17</f>
        <v>0.41</v>
      </c>
      <c r="F17" s="4" t="s">
        <v>53</v>
      </c>
    </row>
    <row r="18" customFormat="false" ht="12.8" hidden="false" customHeight="false" outlineLevel="0" collapsed="false">
      <c r="A18" s="1" t="s">
        <v>54</v>
      </c>
      <c r="B18" s="1" t="s">
        <v>55</v>
      </c>
      <c r="C18" s="2" t="n">
        <v>1</v>
      </c>
      <c r="D18" s="3" t="n">
        <v>0.37</v>
      </c>
      <c r="E18" s="3" t="n">
        <f aca="false">D18*C18</f>
        <v>0.37</v>
      </c>
      <c r="F18" s="4" t="s">
        <v>56</v>
      </c>
    </row>
    <row r="19" customFormat="false" ht="12.8" hidden="false" customHeight="false" outlineLevel="0" collapsed="false">
      <c r="A19" s="1" t="s">
        <v>54</v>
      </c>
      <c r="B19" s="1" t="s">
        <v>57</v>
      </c>
      <c r="C19" s="2" t="n">
        <v>16</v>
      </c>
      <c r="D19" s="3" t="n">
        <v>0.25</v>
      </c>
      <c r="E19" s="3" t="n">
        <f aca="false">D19*C19</f>
        <v>4</v>
      </c>
      <c r="F19" s="4" t="s">
        <v>58</v>
      </c>
    </row>
    <row r="20" customFormat="false" ht="12.8" hidden="false" customHeight="false" outlineLevel="0" collapsed="false">
      <c r="A20" s="1" t="s">
        <v>59</v>
      </c>
      <c r="B20" s="1" t="s">
        <v>60</v>
      </c>
      <c r="C20" s="2" t="n">
        <v>2</v>
      </c>
      <c r="D20" s="3" t="n">
        <v>0.1</v>
      </c>
      <c r="E20" s="3" t="n">
        <f aca="false">D20*C20</f>
        <v>0.2</v>
      </c>
      <c r="F20" s="4" t="s">
        <v>61</v>
      </c>
    </row>
    <row r="21" customFormat="false" ht="12.8" hidden="false" customHeight="false" outlineLevel="0" collapsed="false">
      <c r="A21" s="1" t="s">
        <v>62</v>
      </c>
      <c r="B21" s="1" t="s">
        <v>63</v>
      </c>
      <c r="C21" s="2" t="n">
        <v>1</v>
      </c>
      <c r="D21" s="3" t="n">
        <v>0.88</v>
      </c>
      <c r="E21" s="3" t="n">
        <f aca="false">D21*C21</f>
        <v>0.88</v>
      </c>
      <c r="F21" s="4" t="s">
        <v>64</v>
      </c>
    </row>
    <row r="22" customFormat="false" ht="12.8" hidden="false" customHeight="false" outlineLevel="0" collapsed="false">
      <c r="A22" s="1" t="s">
        <v>65</v>
      </c>
      <c r="B22" s="1" t="s">
        <v>66</v>
      </c>
      <c r="C22" s="2" t="n">
        <v>1</v>
      </c>
      <c r="D22" s="3" t="n">
        <v>3.57</v>
      </c>
      <c r="E22" s="3" t="n">
        <f aca="false">D22*C22</f>
        <v>3.57</v>
      </c>
      <c r="F22" s="4" t="s">
        <v>67</v>
      </c>
    </row>
    <row r="23" customFormat="false" ht="12.8" hidden="false" customHeight="false" outlineLevel="0" collapsed="false">
      <c r="A23" s="1" t="s">
        <v>68</v>
      </c>
      <c r="B23" s="1" t="s">
        <v>69</v>
      </c>
      <c r="C23" s="2" t="n">
        <v>2</v>
      </c>
      <c r="D23" s="3" t="n">
        <v>0.26</v>
      </c>
      <c r="E23" s="3" t="n">
        <f aca="false">D23*C23</f>
        <v>0.52</v>
      </c>
      <c r="F23" s="4" t="s">
        <v>70</v>
      </c>
    </row>
    <row r="24" customFormat="false" ht="12.8" hidden="false" customHeight="false" outlineLevel="0" collapsed="false">
      <c r="A24" s="1" t="s">
        <v>71</v>
      </c>
      <c r="B24" s="1" t="s">
        <v>72</v>
      </c>
      <c r="C24" s="2" t="n">
        <v>1</v>
      </c>
      <c r="D24" s="3" t="n">
        <v>0.21</v>
      </c>
      <c r="E24" s="3" t="n">
        <f aca="false">D24*C24</f>
        <v>0.21</v>
      </c>
      <c r="F24" s="4" t="s">
        <v>73</v>
      </c>
    </row>
    <row r="25" customFormat="false" ht="12.8" hidden="false" customHeight="false" outlineLevel="0" collapsed="false">
      <c r="A25" s="1" t="s">
        <v>74</v>
      </c>
      <c r="B25" s="1" t="s">
        <v>75</v>
      </c>
      <c r="C25" s="2" t="n">
        <v>1</v>
      </c>
      <c r="D25" s="3" t="n">
        <v>0.12</v>
      </c>
      <c r="E25" s="3" t="n">
        <f aca="false">D25*C25</f>
        <v>0.12</v>
      </c>
      <c r="F25" s="4" t="s">
        <v>76</v>
      </c>
    </row>
    <row r="26" customFormat="false" ht="12.8" hidden="false" customHeight="false" outlineLevel="0" collapsed="false">
      <c r="A26" s="1" t="s">
        <v>77</v>
      </c>
      <c r="B26" s="1" t="s">
        <v>78</v>
      </c>
      <c r="C26" s="2" t="n">
        <v>1</v>
      </c>
      <c r="D26" s="3" t="n">
        <v>0.22</v>
      </c>
      <c r="E26" s="3" t="n">
        <f aca="false">D26*C26</f>
        <v>0.22</v>
      </c>
      <c r="F26" s="4" t="s">
        <v>79</v>
      </c>
    </row>
    <row r="27" customFormat="false" ht="12.8" hidden="false" customHeight="false" outlineLevel="0" collapsed="false">
      <c r="A27" s="1" t="s">
        <v>80</v>
      </c>
      <c r="B27" s="1" t="s">
        <v>81</v>
      </c>
      <c r="C27" s="2" t="n">
        <v>1</v>
      </c>
      <c r="D27" s="3" t="n">
        <v>0.34</v>
      </c>
      <c r="E27" s="3" t="n">
        <f aca="false">D27*C27</f>
        <v>0.34</v>
      </c>
      <c r="F27" s="4" t="s">
        <v>82</v>
      </c>
    </row>
    <row r="28" customFormat="false" ht="12.8" hidden="false" customHeight="false" outlineLevel="0" collapsed="false">
      <c r="A28" s="1" t="s">
        <v>83</v>
      </c>
      <c r="B28" s="1" t="s">
        <v>84</v>
      </c>
      <c r="C28" s="2" t="n">
        <v>1</v>
      </c>
      <c r="D28" s="3" t="n">
        <v>0.1</v>
      </c>
      <c r="E28" s="3" t="n">
        <f aca="false">D28*C28</f>
        <v>0.1</v>
      </c>
      <c r="F28" s="4" t="s">
        <v>85</v>
      </c>
    </row>
    <row r="30" customFormat="false" ht="12.8" hidden="false" customHeight="false" outlineLevel="0" collapsed="false">
      <c r="C30" s="5" t="s">
        <v>86</v>
      </c>
      <c r="D30" s="5"/>
      <c r="E30" s="3" t="n">
        <f aca="false">SUM(E2:E19)</f>
        <v>186.41</v>
      </c>
    </row>
  </sheetData>
  <mergeCells count="1">
    <mergeCell ref="C30:D30"/>
  </mergeCells>
  <hyperlinks>
    <hyperlink ref="F2" r:id="rId1" display="https://octopart.com/esp32-s3-mini-1u-n8-espressif+systems-129194335"/>
    <hyperlink ref="F3" r:id="rId2" display="https://octopart.com/in-pi55qatprpgpbpw-40-inolux-96300409"/>
    <hyperlink ref="F4" r:id="rId3" display="https://octopart.com/938-adafruit+industries-32979003"/>
    <hyperlink ref="F5" r:id="rId4" display="https://octopart.com/ptl01-15r0-103b1-bourns-77838499"/>
    <hyperlink ref="F6" r:id="rId5" display="https://octopart.com/pcf8574rgtr-texas+instruments-666200"/>
    <hyperlink ref="F7" r:id="rId6" display="https://octopart.com/39la-1pb-103-bourns-578549"/>
    <hyperlink ref="F8" r:id="rId7" display="https://www.amazon.com/Cherry-Switch-Mechanical-Keyboard-Switches/dp/B0CXTP79HR?th=1"/>
    <hyperlink ref="F9" r:id="rId8" display="https://octopart.com/sn74hcs126dr-texas+instruments-110195206"/>
    <hyperlink ref="F10" r:id="rId9" display="https://octopart.com/293d104x0035a2te3-vishay-42464905"/>
    <hyperlink ref="F11" r:id="rId10" display="https://octopart.com/6-1879336-2-te+connectivity-42430722"/>
    <hyperlink ref="F12" r:id="rId11" display="https://octopart.com/1614881-1-te+connectivity-40125137"/>
    <hyperlink ref="F13" r:id="rId12" display="https://octopart.com/mmsd4148t1g-onsemi-331798"/>
    <hyperlink ref="F14" r:id="rId13" display="https://octopart.com/1622828-1-te+connectivity-41187673"/>
    <hyperlink ref="F15" r:id="rId14" display="https://octopart.com/gcj188r71h104ka12d-murata-20842003"/>
    <hyperlink ref="F16" r:id="rId15" display="https://octopart.com/erj-3ekf4990v-panasonic-55421795"/>
    <hyperlink ref="F17" r:id="rId16" display="https://octopart.com/ecmf02-2amx6-stmicroelectronics-44353078"/>
    <hyperlink ref="F18" r:id="rId17" display="https://octopart.com/esda25p35-1u1m-stmicroelectronics-75302699"/>
    <hyperlink ref="F19" r:id="rId18" display="https://octopart.com/esdalc6v1-1u2-stmicroelectronics-11912330"/>
    <hyperlink ref="F20" r:id="rId19" display="https://octopart.com/erj-3ekf5101v-panasonic-55421801"/>
    <hyperlink ref="F21" r:id="rId20" display="https://octopart.com/usb4085-gf-a-global+connector+technology-94773699"/>
    <hyperlink ref="F22" r:id="rId21" display="https://octopart.com/lms1585acs-3.3%2Fnopb-texas+instruments-24815787"/>
    <hyperlink ref="F23" r:id="rId22" display="https://octopart.com/grm188d71a106ma73d-murata-26982325"/>
    <hyperlink ref="F24" r:id="rId23" display="https://octopart.com/vlms1300-gs08-vishay-21709201"/>
    <hyperlink ref="F25" r:id="rId24" display="https://octopart.com/erj-pa3f2000v-panasonic-51302339"/>
    <hyperlink ref="F26" r:id="rId25" display="https://octopart.com/vlmo1300-gs08-vishay-21709200"/>
    <hyperlink ref="F27" r:id="rId26" display="https://octopart.com/vlmtg1300-gs08-vishay-21709202"/>
    <hyperlink ref="F28" r:id="rId27" display="https://octopart.com/crgh0603j10r-te+connectivity-24382088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2025-07-31T21:45:05Z</dcterms:created>
  <dc:creator/>
  <dc:description/>
  <dc:language>en-US</dc:language>
  <cp:lastModifiedBy/>
  <dcterms:modified xsi:type="dcterms:W3CDTF">2025-08-19T21:50:37Z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