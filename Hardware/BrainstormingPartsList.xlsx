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<sst xmlns="http://schemas.openxmlformats.org/spreadsheetml/2006/main" count="22" uniqueCount="22">
  <si>
    <t xml:space="preserve">Part Name</t>
  </si>
  <si>
    <t xml:space="preserve">Part ID</t>
  </si>
  <si>
    <t xml:space="preserve">Qt.</t>
  </si>
  <si>
    <t xml:space="preserve">Price</t>
  </si>
  <si>
    <t xml:space="preserve">Sum</t>
  </si>
  <si>
    <t xml:space="preserve">Octopart Link</t>
  </si>
  <si>
    <t xml:space="preserve">ESP32-S3</t>
  </si>
  <si>
    <t xml:space="preserve">ESP32-S3-MINI-1U-N8</t>
  </si>
  <si>
    <t xml:space="preserve">https://octopart.com/esp32-s3-mini-1u-n8-espressif+systems-129194335</t>
  </si>
  <si>
    <t xml:space="preserve">ARGBW LED</t>
  </si>
  <si>
    <t xml:space="preserve">IN-PI55QATPRPGPBPW-40</t>
  </si>
  <si>
    <t xml:space="preserve">https://octopart.com/in-pi55qatprpgpbpw-40-inolux-96300409</t>
  </si>
  <si>
    <t xml:space="preserve">128x64 OLED</t>
  </si>
  <si>
    <t xml:space="preserve">Adafruit 326</t>
  </si>
  <si>
    <t xml:space="preserve">https://octopart.com/326-adafruit+industries-29717946</t>
  </si>
  <si>
    <t xml:space="preserve">100mm 10k Slide Potentiameter w/ LED</t>
  </si>
  <si>
    <t xml:space="preserve">Bourns PTL01-15R0-103B1</t>
  </si>
  <si>
    <t xml:space="preserve">https://octopart.com/ptl01-15r0-103b1-bourns-77838499</t>
  </si>
  <si>
    <t xml:space="preserve">8 GPIO Expander</t>
  </si>
  <si>
    <t xml:space="preserve">TI PCF8574RGTR</t>
  </si>
  <si>
    <t xml:space="preserve">https://octopart.com/pcf8574rgtr-texas+instruments-666200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</si>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</sst>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[$$-409]#,##0.00;[RED]\-[$$-409]#,##0.00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octopart.com/esp32-s3-mini-1u-n8-espressif+systems-129194335" TargetMode="External"/><Relationship Id="rId2" Type="http://schemas.openxmlformats.org/officeDocument/2006/relationships/hyperlink" Target="https://octopart.com/in-pi55qatprpgpbpw-40-inolux-96300409" TargetMode="External"/><Relationship Id="rId3" Type="http://schemas.openxmlformats.org/officeDocument/2006/relationships/hyperlink" Target="https://octopart.com/326-adafruit+industries-29717946" TargetMode="External"/><Relationship Id="rId4" Type="http://schemas.openxmlformats.org/officeDocument/2006/relationships/hyperlink" Target="https://octopart.com/ptl01-15r0-103b1-bourns-77838499" TargetMode="External"/><Relationship Id="rId5" Type="http://schemas.openxmlformats.org/officeDocument/2006/relationships/hyperlink" Target="https://octopart.com/pcf8574rgtr-texas+instruments-666200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7" activeCellId="0" sqref="F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3.86"/>
    <col collapsed="false" customWidth="true" hidden="false" outlineLevel="0" max="2" min="2" style="0" width="24.54"/>
    <col collapsed="false" customWidth="true" hidden="false" outlineLevel="0" max="3" min="3" style="1" width="6.04"/>
    <col collapsed="false" customWidth="true" hidden="false" outlineLevel="0" max="4" min="4" style="2" width="7.02"/>
    <col collapsed="false" customWidth="true" hidden="false" outlineLevel="0" max="5" min="5" style="0" width="7.99"/>
    <col collapsed="false" customWidth="true" hidden="false" outlineLevel="0" max="6" min="6" style="0" width="59.75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2.8" hidden="false" customHeight="false" outlineLevel="0" collapsed="false">
      <c r="A2" s="0" t="s">
        <v>6</v>
      </c>
      <c r="B2" s="0" t="s">
        <v>7</v>
      </c>
      <c r="C2" s="1" t="n">
        <v>1</v>
      </c>
      <c r="D2" s="2" t="n">
        <v>5.28</v>
      </c>
      <c r="E2" s="2" t="n">
        <f aca="false">D2*C2</f>
        <v>5.28</v>
      </c>
      <c r="F2" s="3" t="s">
        <v>8</v>
      </c>
    </row>
    <row r="3" customFormat="false" ht="12.8" hidden="false" customHeight="false" outlineLevel="0" collapsed="false">
      <c r="A3" s="0" t="s">
        <v>9</v>
      </c>
      <c r="B3" s="0" t="s">
        <v>10</v>
      </c>
      <c r="C3" s="1" t="n">
        <v>2</v>
      </c>
      <c r="D3" s="2" t="n">
        <v>0.74</v>
      </c>
      <c r="E3" s="2" t="n">
        <f aca="false">D3*C3</f>
        <v>1.48</v>
      </c>
      <c r="F3" s="3" t="s">
        <v>11</v>
      </c>
    </row>
    <row r="4" customFormat="false" ht="12.8" hidden="false" customHeight="false" outlineLevel="0" collapsed="false">
      <c r="A4" s="0" t="s">
        <v>12</v>
      </c>
      <c r="B4" s="0" t="s">
        <v>13</v>
      </c>
      <c r="C4" s="1" t="n">
        <v>4</v>
      </c>
      <c r="D4" s="2" t="n">
        <v>17.5</v>
      </c>
      <c r="E4" s="2" t="n">
        <f aca="false">D4*C4</f>
        <v>70</v>
      </c>
      <c r="F4" s="3" t="s">
        <v>14</v>
      </c>
    </row>
    <row r="5" customFormat="false" ht="12.8" hidden="false" customHeight="false" outlineLevel="0" collapsed="false">
      <c r="A5" s="0" t="s">
        <v>15</v>
      </c>
      <c r="B5" s="0" t="s">
        <v>16</v>
      </c>
      <c r="C5" s="1" t="n">
        <v>10</v>
      </c>
      <c r="D5" s="2" t="n">
        <v>6.17</v>
      </c>
      <c r="E5" s="2" t="n">
        <f aca="false">D5*C5</f>
        <v>61.7</v>
      </c>
      <c r="F5" s="3" t="s">
        <v>17</v>
      </c>
    </row>
    <row r="6" customFormat="false" ht="12.8" hidden="false" customHeight="false" outlineLevel="0" collapsed="false">
      <c r="A6" s="0" t="s">
        <v>18</v>
      </c>
      <c r="B6" s="0" t="s">
        <v>19</v>
      </c>
      <c r="C6" s="1" t="n">
        <v>3</v>
      </c>
      <c r="D6" s="2" t="n">
        <v>1.5</v>
      </c>
      <c r="E6" s="2" t="n">
        <f aca="false">D6*C6</f>
        <v>4.5</v>
      </c>
      <c r="F6" s="3" t="s">
        <v>20</v>
      </c>
    </row>
    <row r="8" customFormat="false" ht="12.8" hidden="false" customHeight="false" outlineLevel="0" collapsed="false">
      <c r="C8" s="4" t="s">
        <v>21</v>
      </c>
      <c r="D8" s="4"/>
      <c r="E8" s="2" t="n">
        <f aca="false">SUM(E2:E7)</f>
        <v>142.96</v>
      </c>
    </row>
  </sheetData>
  <mergeCells count="1">
    <mergeCell ref="C8:D8"/>
  </mergeCells>
  <hyperlinks>
    <hyperlink ref="F2" r:id="rId1" display="https://octopart.com/esp32-s3-mini-1u-n8-espressif+systems-129194335"/>
    <hyperlink ref="F3" r:id="rId2" display="https://octopart.com/in-pi55qatprpgpbpw-40-inolux-96300409"/>
    <hyperlink ref="F4" r:id="rId3" display="https://octopart.com/326-adafruit+industries-29717946"/>
    <hyperlink ref="F5" r:id="rId4" display="https://octopart.com/ptl01-15r0-103b1-bourns-77838499"/>
    <hyperlink ref="F6" r:id="rId5" display="https://octopart.com/pcf8574rgtr-texas+instruments-666200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2025-07-31T21:45:05Z</dcterms:created>
  <dc:creator/>
  <dc:description/>
  <dc:language>en-US</dc:language>
  <cp:lastModifiedBy/>
  <dcterms:modified xsi:type="dcterms:W3CDTF">2025-07-31T22:04:23Z</dcterms:modified>
  <cp:revision>2</cp:revision>
  <dc:subject/>
  <dc:title/>
</cp:coreProperties>
</file>